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OBLE2\Desktop\"/>
    </mc:Choice>
  </mc:AlternateContent>
  <xr:revisionPtr revIDLastSave="0" documentId="13_ncr:1_{5C31A3CE-4DCF-448B-9E9C-7C29D0181C26}" xr6:coauthVersionLast="47" xr6:coauthVersionMax="47" xr10:uidLastSave="{00000000-0000-0000-0000-000000000000}"/>
  <bookViews>
    <workbookView xWindow="-120" yWindow="-120" windowWidth="29040" windowHeight="17520" xr2:uid="{DE8D4764-C934-4031-B348-3036245C9B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1" i="1"/>
  <c r="F11" i="1"/>
  <c r="E8" i="1"/>
  <c r="F8" i="1"/>
  <c r="E5" i="1"/>
  <c r="F5" i="1"/>
  <c r="E4" i="1"/>
  <c r="F4" i="1"/>
  <c r="G5" i="1" s="1"/>
  <c r="E3" i="1"/>
  <c r="F3" i="1"/>
</calcChain>
</file>

<file path=xl/sharedStrings.xml><?xml version="1.0" encoding="utf-8"?>
<sst xmlns="http://schemas.openxmlformats.org/spreadsheetml/2006/main" count="19" uniqueCount="16">
  <si>
    <t>CLAVE</t>
  </si>
  <si>
    <t>LONGUITUD de etiqueta</t>
  </si>
  <si>
    <t>CANTIDAD de etiquetas</t>
  </si>
  <si>
    <t>TOTAL EN MTS</t>
  </si>
  <si>
    <t>RIBBON requerido</t>
  </si>
  <si>
    <t>TT 102X51 REC</t>
  </si>
  <si>
    <t>TT 102X76 REC</t>
  </si>
  <si>
    <t>TT 102X153</t>
  </si>
  <si>
    <t>PIEZAS</t>
  </si>
  <si>
    <t>Ribbon</t>
  </si>
  <si>
    <t>5 LOGOS</t>
  </si>
  <si>
    <t>VARIOS</t>
  </si>
  <si>
    <t>DESARROLLO + 3 mm de GAP</t>
  </si>
  <si>
    <t>RIBBON mts</t>
  </si>
  <si>
    <t>4 x 3</t>
  </si>
  <si>
    <t>4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</si>
</sst>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4"/>
      <name val="Aptos Narrow"/>
      <family val="2"/>
      <scheme val="minor"/>
    </font>
    <font>
      <sz val="13"/>
      <color rgb="FFFF0000"/>
      <name val="Aptos Narrow"/>
      <family val="2"/>
      <scheme val="minor"/>
    </font>
    <font>
      <sz val="1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4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0" fillId="0" borderId="0" xfId="0" applyAlignment="1">
      <alignment horizontal="center"/>
    </xf>
    <xf numFmtId="4" fontId="0" fillId="0" borderId="0" xfId="0" applyNumberFormat="1"/>
    <xf numFmtId="2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4" fontId="1" fillId="0" borderId="1" xfId="0" applyNumberFormat="1" applyFont="1" applyBorder="1"/>
    <xf numFmtId="3" fontId="3" fillId="3" borderId="1" xfId="0" applyNumberFormat="1" applyFont="1" applyFill="1" applyBorder="1"/>
    <xf numFmtId="3" fontId="3" fillId="3" borderId="3" xfId="0" applyNumberFormat="1" applyFont="1" applyFill="1" applyBorder="1"/>
    <xf numFmtId="0" fontId="0" fillId="3" borderId="1" xfId="0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F669-1472-478B-A659-FF1DB5CDD3F0}">
  <dimension ref="A2:H15"/>
  <sheetViews>
    <sheetView tabSelected="1" workbookViewId="0">
      <selection activeCell="F5" sqref="F5"/>
    </sheetView>
  </sheetViews>
  <sheetFormatPr defaultColWidth="11.42578125" defaultRowHeight="15" x14ac:dyDescent="0.25"/>
  <cols>
    <col min="2" max="2" width="13.28515625" bestFit="1" customWidth="1"/>
    <col min="6" max="6" width="13.28515625" customWidth="1"/>
  </cols>
  <sheetData>
    <row r="2" spans="1:8" ht="60" x14ac:dyDescent="0.25">
      <c r="B2" s="1" t="s">
        <v>0</v>
      </c>
      <c r="C2" s="2" t="s">
        <v>1</v>
      </c>
      <c r="D2" s="2" t="s">
        <v>2</v>
      </c>
      <c r="E2" s="3" t="s">
        <v>3</v>
      </c>
      <c r="F2" s="2" t="s">
        <v>4</v>
      </c>
    </row>
    <row r="3" spans="1:8" ht="17.25" x14ac:dyDescent="0.3">
      <c r="A3" s="17" t="s">
        <v>15</v>
      </c>
      <c r="B3" s="4" t="s">
        <v>5</v>
      </c>
      <c r="C3" s="4">
        <v>5.3999999999999999E-2</v>
      </c>
      <c r="D3" s="12">
        <v>36000</v>
      </c>
      <c r="E3" s="5">
        <f>D3*C3</f>
        <v>1944</v>
      </c>
      <c r="F3" s="6">
        <f>E3/D6</f>
        <v>4.32</v>
      </c>
    </row>
    <row r="4" spans="1:8" ht="17.25" x14ac:dyDescent="0.3">
      <c r="A4" s="17" t="s">
        <v>14</v>
      </c>
      <c r="B4" s="4" t="s">
        <v>6</v>
      </c>
      <c r="C4" s="4">
        <v>7.9000000000000001E-2</v>
      </c>
      <c r="D4" s="12">
        <v>16000</v>
      </c>
      <c r="E4" s="5">
        <f t="shared" ref="E4:E5" si="0">D4*C4</f>
        <v>1264</v>
      </c>
      <c r="F4" s="6">
        <f>E4/D6</f>
        <v>2.8088888888888888</v>
      </c>
    </row>
    <row r="5" spans="1:8" ht="17.25" x14ac:dyDescent="0.3">
      <c r="A5" s="17">
        <v>8053</v>
      </c>
      <c r="B5" s="4" t="s">
        <v>7</v>
      </c>
      <c r="C5" s="4">
        <v>0.156</v>
      </c>
      <c r="D5" s="12">
        <v>60000</v>
      </c>
      <c r="E5" s="5">
        <f t="shared" si="0"/>
        <v>9360</v>
      </c>
      <c r="F5" s="6">
        <f>E5/D6</f>
        <v>20.8</v>
      </c>
      <c r="G5" s="7">
        <f>SUM(F3:F5)</f>
        <v>27.928888888888892</v>
      </c>
      <c r="H5" t="s">
        <v>8</v>
      </c>
    </row>
    <row r="6" spans="1:8" ht="17.25" x14ac:dyDescent="0.3">
      <c r="C6" s="8" t="s">
        <v>9</v>
      </c>
      <c r="D6" s="9">
        <v>450</v>
      </c>
    </row>
    <row r="7" spans="1:8" ht="17.25" x14ac:dyDescent="0.3">
      <c r="C7" s="8"/>
      <c r="D7" s="9"/>
    </row>
    <row r="8" spans="1:8" ht="17.25" x14ac:dyDescent="0.3">
      <c r="B8" s="4" t="s">
        <v>10</v>
      </c>
      <c r="C8" s="4">
        <v>4.3999999999999997E-2</v>
      </c>
      <c r="D8" s="12">
        <v>240000</v>
      </c>
      <c r="E8" s="5">
        <f>D8*C8</f>
        <v>10560</v>
      </c>
      <c r="F8" s="10">
        <f>E8/D9</f>
        <v>23.466666666666665</v>
      </c>
    </row>
    <row r="9" spans="1:8" ht="17.25" x14ac:dyDescent="0.3">
      <c r="C9" s="8" t="s">
        <v>9</v>
      </c>
      <c r="D9" s="9">
        <v>450</v>
      </c>
    </row>
    <row r="11" spans="1:8" ht="17.25" x14ac:dyDescent="0.3">
      <c r="B11" s="4" t="s">
        <v>11</v>
      </c>
      <c r="C11" s="14">
        <v>6.9000000000000006E-2</v>
      </c>
      <c r="D11" s="13">
        <v>9000</v>
      </c>
      <c r="E11" s="5">
        <f>D11*C11</f>
        <v>621</v>
      </c>
      <c r="F11" s="10">
        <f>E11/D12</f>
        <v>1.38</v>
      </c>
    </row>
    <row r="12" spans="1:8" ht="17.25" x14ac:dyDescent="0.3">
      <c r="C12" s="8" t="s">
        <v>9</v>
      </c>
      <c r="D12" s="15">
        <v>450</v>
      </c>
    </row>
    <row r="14" spans="1:8" ht="60" x14ac:dyDescent="0.25">
      <c r="B14" s="2" t="s">
        <v>12</v>
      </c>
      <c r="C14" s="3" t="s">
        <v>13</v>
      </c>
      <c r="D14" s="2" t="s">
        <v>2</v>
      </c>
    </row>
    <row r="15" spans="1:8" ht="17.25" x14ac:dyDescent="0.3">
      <c r="B15" s="14">
        <v>7.1999999999999995E-2</v>
      </c>
      <c r="C15" s="16">
        <v>300</v>
      </c>
      <c r="D15" s="11">
        <f>C15/B15</f>
        <v>4166.666666666667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RKL Representaciones</dc:creator>
  <cp:lastModifiedBy>Zagoya Gonzalez, Enrique (EXTERN: AE Mex)</cp:lastModifiedBy>
  <dcterms:created xsi:type="dcterms:W3CDTF">2025-05-15T15:20:29Z</dcterms:created>
  <dcterms:modified xsi:type="dcterms:W3CDTF">2025-12-30T20:18:54Z</dcterms:modified>
</cp:coreProperties>
</file>